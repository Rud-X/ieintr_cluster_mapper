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KPI_Summary_Ch5" sheetId="2" state="visible" r:id="rId4"/>
    <sheet name="KPI_Uni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<sst xmlns="http://schemas.openxmlformats.org/spreadsheetml/2006/main" count="194" uniqueCount="79">
  <si>
    <t xml:space="preserve">KPIs →
Company↓</t>
  </si>
  <si>
    <t xml:space="preserve">Cooling water consumption
[kt/y]</t>
  </si>
  <si>
    <t xml:space="preserve">Process Energy Efficiency
[%]</t>
  </si>
  <si>
    <t xml:space="preserve">Total Energy consumption 
[GJ/y]</t>
  </si>
  <si>
    <t xml:space="preserve">Renewable energy share</t>
  </si>
  <si>
    <t xml:space="preserve">Energy Intensity per unit
[TJ/kt]</t>
  </si>
  <si>
    <t xml:space="preserve">By-product Energy Recovery</t>
  </si>
  <si>
    <t xml:space="preserve">Energy losses</t>
  </si>
  <si>
    <t xml:space="preserve">Estimated GHG Emissions</t>
  </si>
  <si>
    <t xml:space="preserve">CHP plant</t>
  </si>
  <si>
    <t xml:space="preserve">Energy intensity per unit (GJ/year)</t>
  </si>
  <si>
    <t xml:space="preserve">Cooling water consumption (ton/year)</t>
  </si>
  <si>
    <t xml:space="preserve">Olefins plant</t>
  </si>
  <si>
    <t xml:space="preserve">Energy consumed per unit of product, indicating energy efficiency.</t>
  </si>
  <si>
    <t xml:space="preserve">Total water used for cooling purposes, identifying non- process uses.</t>
  </si>
  <si>
    <t xml:space="preserve">Aromatics plant</t>
  </si>
  <si>
    <t xml:space="preserve">Production capacity</t>
  </si>
  <si>
    <t xml:space="preserve">Product</t>
  </si>
  <si>
    <t xml:space="preserve">Unit</t>
  </si>
  <si>
    <t xml:space="preserve">Total energy consumed (normalized to this production capacity)</t>
  </si>
  <si>
    <t xml:space="preserve">Energy intensity per unit</t>
  </si>
  <si>
    <t xml:space="preserve">Total coolingwater consumed (normalized to this production capacity)</t>
  </si>
  <si>
    <t xml:space="preserve">Biogas plant</t>
  </si>
  <si>
    <t xml:space="preserve">Electricity</t>
  </si>
  <si>
    <t xml:space="preserve">kWh/year</t>
  </si>
  <si>
    <t xml:space="preserve">TJ/y</t>
  </si>
  <si>
    <t xml:space="preserve">TJ/kWh</t>
  </si>
  <si>
    <t xml:space="preserve">kt/y</t>
  </si>
  <si>
    <t xml:space="preserve">Methanol plant</t>
  </si>
  <si>
    <t xml:space="preserve">Propylene</t>
  </si>
  <si>
    <t xml:space="preserve">kt/year</t>
  </si>
  <si>
    <t xml:space="preserve">TJ/kt</t>
  </si>
  <si>
    <t xml:space="preserve">DME plant</t>
  </si>
  <si>
    <t xml:space="preserve">Reformate</t>
  </si>
  <si>
    <t xml:space="preserve">Total</t>
  </si>
  <si>
    <t xml:space="preserve">Food Waste</t>
  </si>
  <si>
    <t xml:space="preserve">kW/y</t>
  </si>
  <si>
    <t xml:space="preserve">PS-CH3OH (Methanol)</t>
  </si>
  <si>
    <t xml:space="preserve">DME</t>
  </si>
  <si>
    <t xml:space="preserve">*These values assume chill water also to be included as water used for cooling</t>
  </si>
  <si>
    <t xml:space="preserve">Process energy efficiency (%)</t>
  </si>
  <si>
    <t xml:space="preserve">Energy losses (MWh/year)</t>
  </si>
  <si>
    <t xml:space="preserve">Ratio of useful energy output to total energy input in the production process.</t>
  </si>
  <si>
    <t xml:space="preserve">Energy lost as heat, friction, or other inefficiencies within the process.</t>
  </si>
  <si>
    <t xml:space="preserve">Total energy produced (normalised to production capacity) </t>
  </si>
  <si>
    <t xml:space="preserve">Process energy efficiency</t>
  </si>
  <si>
    <t xml:space="preserve">Total energy consumption (GJ/year)</t>
  </si>
  <si>
    <t xml:space="preserve">By-product energy recovery (MWh/year)</t>
  </si>
  <si>
    <t xml:space="preserve">Total energy consumed by the plant, incl. electricity, fuels, and thermal energy.</t>
  </si>
  <si>
    <t xml:space="preserve">Amount of energy recovered from waste streams or by- products </t>
  </si>
  <si>
    <t xml:space="preserve">Operating hours per year</t>
  </si>
  <si>
    <t xml:space="preserve">annual steam mass</t>
  </si>
  <si>
    <t xml:space="preserve">Heatcapacity high pressure steam</t>
  </si>
  <si>
    <t xml:space="preserve">TJ to MWh/year (= *277,78)</t>
  </si>
  <si>
    <t xml:space="preserve">120 ton/h of steam</t>
  </si>
  <si>
    <t xml:space="preserve">8000 h/y </t>
  </si>
  <si>
    <t xml:space="preserve">1632 TJ/ton</t>
  </si>
  <si>
    <t xml:space="preserve">MWh/year</t>
  </si>
  <si>
    <t xml:space="preserve">Mh/year</t>
  </si>
  <si>
    <t xml:space="preserve">Renewable energy share (%)</t>
  </si>
  <si>
    <t xml:space="preserve">Estimated GHG emissions (tCO2e/year)</t>
  </si>
  <si>
    <t xml:space="preserve">Proportion of total energy consumption supplied by renewable sources.</t>
  </si>
  <si>
    <t xml:space="preserve">Total indirect greenhouse gas emissions from owned or controlled operations.</t>
  </si>
  <si>
    <t xml:space="preserve">Concentration CO2 in waste stream (wt %)</t>
  </si>
  <si>
    <t xml:space="preserve">Flow kt/y</t>
  </si>
  <si>
    <t xml:space="preserve">Scope 1: direct emissions</t>
  </si>
  <si>
    <t xml:space="preserve">Total energy consumed (in TJ/year instead of GT/year))</t>
  </si>
  <si>
    <t xml:space="preserve">Emission factor (tCO2/TJ)</t>
  </si>
  <si>
    <t xml:space="preserve">Scope 2: Indirect emissions</t>
  </si>
  <si>
    <t xml:space="preserve">tCO2/year</t>
  </si>
  <si>
    <t xml:space="preserve">assuming everything is on aardgas</t>
  </si>
  <si>
    <t xml:space="preserve">Company</t>
  </si>
  <si>
    <t xml:space="preserve">Cooling water consumption</t>
  </si>
  <si>
    <t xml:space="preserve">Process Energy Efficiency</t>
  </si>
  <si>
    <t xml:space="preserve">Total Energy consumption</t>
  </si>
  <si>
    <t xml:space="preserve">Energy Intensity per unit</t>
  </si>
  <si>
    <t xml:space="preserve">KPI</t>
  </si>
  <si>
    <t xml:space="preserve">%</t>
  </si>
  <si>
    <t xml:space="preserve">GJ/y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</si>
</sst>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0.000"/>
    <numFmt numFmtId="167" formatCode="#,##0.00"/>
    <numFmt numFmtId="168" formatCode="#,##0"/>
    <numFmt numFmtId="169" formatCode="0.0"/>
    <numFmt numFmtId="170" formatCode="0.00"/>
    <numFmt numFmtId="171" formatCode="0"/>
    <numFmt numFmtId="172" formatCode="#,##0.0000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2"/>
      <color theme="1"/>
      <name val="Calibri"/>
      <family val="0"/>
      <charset val="1"/>
    </font>
    <font>
      <sz val="11"/>
      <color rgb="FFFF0000"/>
      <name val="Arial"/>
      <family val="0"/>
      <charset val="1"/>
    </font>
    <font>
      <sz val="12"/>
      <color rgb="FFFF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FF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0DBF1"/>
        <bgColor rgb="FFDBE5F1"/>
      </patternFill>
    </fill>
    <fill>
      <patternFill patternType="solid">
        <fgColor rgb="FFDBE5F1"/>
        <bgColor rgb="FFE0DBF1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EFEFEF"/>
      </patternFill>
    </fill>
    <fill>
      <patternFill patternType="solid">
        <fgColor rgb="FF95B3D7"/>
        <bgColor rgb="FF9999FF"/>
      </patternFill>
    </fill>
    <fill>
      <patternFill patternType="solid">
        <fgColor rgb="FFD9D9D9"/>
        <bgColor rgb="FFD9D2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8" fontId="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3F3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3F3F3"/>
      <rgbColor rgb="FFDBE5F1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E0DBF1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C7:I12" headerRowCount="0" totals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</table>
</file>

<file path=xl/tables/table2.xml><?xml version="1.0" encoding="utf-8"?>
<table xmlns="http://schemas.openxmlformats.org/spreadsheetml/2006/main" id="2" name="Table_2" displayName="Table_2" ref="C18:E23" headerRowCount="0" totalsRowCount="0" totalsRowShown="0">
  <tableColumns count="3">
    <tableColumn id="1" name="Column1"/>
    <tableColumn id="2" name="Column2"/>
    <tableColumn id="3" name="Column3"/>
  </tableColumns>
</table>
</file>

<file path=xl/tables/table3.xml><?xml version="1.0" encoding="utf-8"?>
<table xmlns="http://schemas.openxmlformats.org/spreadsheetml/2006/main" id="3" name="Table_3" displayName="Table_3" ref="F18:G23" headerRowCount="0" totalsRowCount="0" totalsRowShown="0">
  <tableColumns count="2">
    <tableColumn id="1" name="Column1"/>
    <tableColumn id="2" name="Column2"/>
  </tableColumns>
</table>
</file>

<file path=xl/tables/table4.xml><?xml version="1.0" encoding="utf-8"?>
<table xmlns="http://schemas.openxmlformats.org/spreadsheetml/2006/main" id="4" name="Table_4" displayName="Table_4" ref="C30:D35" headerRowCount="0" totalsRowCount="0" totalsRowShown="0">
  <tableColumns count="2">
    <tableColumn id="1" name="Column1"/>
    <tableColumn id="2" name="Column2"/>
  </tableColumns>
</table>
</file>

<file path=xl/tables/table5.xml><?xml version="1.0" encoding="utf-8"?>
<table xmlns="http://schemas.openxmlformats.org/spreadsheetml/2006/main" id="5" name="Table_5" displayName="Table_5" ref="P41:S49" headerRowCount="0" totalsRowCount="0" totalsRowShown="0">
  <tableColumns count="4">
    <tableColumn id="1" name="Column1"/>
    <tableColumn id="2" name="Column2"/>
    <tableColumn id="3" name="Column3"/>
    <tableColumn id="4" name="Column4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2:AD57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3.63"/>
    <col collapsed="false" customWidth="true" hidden="false" outlineLevel="0" max="3" min="3" style="0" width="18.88"/>
    <col collapsed="false" customWidth="true" hidden="false" outlineLevel="0" max="6" min="6" style="0" width="19.75"/>
  </cols>
  <sheetData>
    <row r="2" customFormat="false" ht="28.35" hidden="false" customHeight="false" outlineLevel="0" collapsed="false">
      <c r="V2" s="1" t="s">
        <v>0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7</v>
      </c>
      <c r="AD2" s="1" t="s">
        <v>8</v>
      </c>
    </row>
    <row r="3" customFormat="false" ht="15.75" hidden="false" customHeight="false" outlineLevel="0" collapsed="false">
      <c r="V3" s="2" t="s">
        <v>9</v>
      </c>
      <c r="W3" s="3" t="n">
        <v>1072.46</v>
      </c>
      <c r="X3" s="4" t="n">
        <v>-1.4594</v>
      </c>
      <c r="Y3" s="3" t="n">
        <v>3113.28</v>
      </c>
      <c r="Z3" s="5" t="n">
        <v>0</v>
      </c>
      <c r="AA3" s="3" t="n">
        <v>0</v>
      </c>
      <c r="AB3" s="5"/>
      <c r="AC3" s="5"/>
      <c r="AD3" s="5"/>
    </row>
    <row r="4" customFormat="false" ht="15.75" hidden="false" customHeight="false" outlineLevel="0" collapsed="false">
      <c r="C4" s="6" t="s">
        <v>10</v>
      </c>
      <c r="D4" s="6"/>
      <c r="E4" s="6"/>
      <c r="F4" s="6"/>
      <c r="G4" s="6"/>
      <c r="H4" s="6"/>
      <c r="I4" s="6"/>
      <c r="M4" s="6" t="s">
        <v>11</v>
      </c>
      <c r="N4" s="6"/>
      <c r="O4" s="6"/>
      <c r="P4" s="6"/>
      <c r="Q4" s="6"/>
      <c r="R4" s="6"/>
      <c r="S4" s="6"/>
      <c r="V4" s="2" t="s">
        <v>12</v>
      </c>
      <c r="W4" s="3" t="n">
        <v>245515.38</v>
      </c>
      <c r="X4" s="4" t="n">
        <v>-0.7345</v>
      </c>
      <c r="Y4" s="3" t="n">
        <v>32530.33</v>
      </c>
      <c r="Z4" s="5" t="n">
        <v>0</v>
      </c>
      <c r="AA4" s="3" t="n">
        <v>43.374</v>
      </c>
      <c r="AB4" s="5"/>
      <c r="AC4" s="5"/>
      <c r="AD4" s="5"/>
    </row>
    <row r="5" customFormat="false" ht="26.85" hidden="false" customHeight="false" outlineLevel="0" collapsed="false">
      <c r="C5" s="7" t="s">
        <v>13</v>
      </c>
      <c r="D5" s="7"/>
      <c r="E5" s="7"/>
      <c r="F5" s="7"/>
      <c r="G5" s="7"/>
      <c r="H5" s="7"/>
      <c r="I5" s="7"/>
      <c r="M5" s="7" t="s">
        <v>14</v>
      </c>
      <c r="N5" s="7"/>
      <c r="O5" s="7"/>
      <c r="P5" s="7"/>
      <c r="Q5" s="7"/>
      <c r="R5" s="7"/>
      <c r="S5" s="7"/>
      <c r="V5" s="2" t="s">
        <v>15</v>
      </c>
      <c r="W5" s="3" t="n">
        <v>119745.82</v>
      </c>
      <c r="X5" s="4" t="n">
        <v>-0.1472</v>
      </c>
      <c r="Y5" s="3" t="n">
        <v>15977.94</v>
      </c>
      <c r="Z5" s="5" t="n">
        <v>0</v>
      </c>
      <c r="AA5" s="3" t="n">
        <v>32.399</v>
      </c>
      <c r="AB5" s="5"/>
      <c r="AC5" s="5"/>
      <c r="AD5" s="5"/>
    </row>
    <row r="6" customFormat="false" ht="90.25" hidden="false" customHeight="false" outlineLevel="0" collapsed="false">
      <c r="C6" s="8" t="s">
        <v>16</v>
      </c>
      <c r="D6" s="8" t="s">
        <v>17</v>
      </c>
      <c r="E6" s="8" t="s">
        <v>18</v>
      </c>
      <c r="F6" s="9" t="s">
        <v>19</v>
      </c>
      <c r="G6" s="10" t="s">
        <v>18</v>
      </c>
      <c r="H6" s="11" t="s">
        <v>20</v>
      </c>
      <c r="I6" s="10" t="s">
        <v>18</v>
      </c>
      <c r="M6" s="9" t="s">
        <v>21</v>
      </c>
      <c r="N6" s="10" t="s">
        <v>18</v>
      </c>
      <c r="V6" s="2" t="s">
        <v>22</v>
      </c>
      <c r="W6" s="3" t="n">
        <v>0</v>
      </c>
      <c r="X6" s="4" t="n">
        <v>0</v>
      </c>
      <c r="Y6" s="3" t="n">
        <v>19125.62</v>
      </c>
      <c r="Z6" s="5" t="n">
        <v>0</v>
      </c>
      <c r="AA6" s="3" t="n">
        <v>318.76</v>
      </c>
      <c r="AB6" s="5"/>
      <c r="AC6" s="5"/>
      <c r="AD6" s="5"/>
    </row>
    <row r="7" customFormat="false" ht="26.85" hidden="false" customHeight="false" outlineLevel="0" collapsed="false">
      <c r="B7" s="8" t="s">
        <v>9</v>
      </c>
      <c r="C7" s="12" t="n">
        <v>438291000</v>
      </c>
      <c r="D7" s="13" t="s">
        <v>23</v>
      </c>
      <c r="E7" s="12" t="s">
        <v>24</v>
      </c>
      <c r="F7" s="12" t="n">
        <v>3113.28</v>
      </c>
      <c r="G7" s="12" t="s">
        <v>25</v>
      </c>
      <c r="H7" s="14" t="n">
        <f aca="false">F7/C7</f>
        <v>7.10322593893099E-006</v>
      </c>
      <c r="I7" s="12" t="s">
        <v>26</v>
      </c>
      <c r="L7" s="8" t="s">
        <v>9</v>
      </c>
      <c r="M7" s="10" t="n">
        <v>1072.46</v>
      </c>
      <c r="N7" s="10" t="s">
        <v>27</v>
      </c>
      <c r="V7" s="2" t="s">
        <v>28</v>
      </c>
      <c r="W7" s="3" t="n">
        <v>65891.82</v>
      </c>
      <c r="X7" s="4" t="n">
        <v>-0.2921</v>
      </c>
      <c r="Y7" s="15" t="n">
        <v>5353</v>
      </c>
      <c r="Z7" s="5" t="n">
        <v>0</v>
      </c>
      <c r="AA7" s="3" t="n">
        <v>17.843</v>
      </c>
      <c r="AB7" s="5"/>
      <c r="AC7" s="5"/>
      <c r="AD7" s="5"/>
    </row>
    <row r="8" customFormat="false" ht="15.75" hidden="false" customHeight="false" outlineLevel="0" collapsed="false">
      <c r="B8" s="8" t="s">
        <v>12</v>
      </c>
      <c r="C8" s="16" t="n">
        <v>750</v>
      </c>
      <c r="D8" s="17" t="s">
        <v>29</v>
      </c>
      <c r="E8" s="18" t="s">
        <v>30</v>
      </c>
      <c r="F8" s="18" t="n">
        <v>32530.33</v>
      </c>
      <c r="G8" s="12" t="s">
        <v>25</v>
      </c>
      <c r="H8" s="14" t="n">
        <f aca="false">F8/C8</f>
        <v>43.3737733333333</v>
      </c>
      <c r="I8" s="12" t="s">
        <v>31</v>
      </c>
      <c r="L8" s="8" t="s">
        <v>12</v>
      </c>
      <c r="M8" s="10" t="n">
        <v>245515.38</v>
      </c>
      <c r="N8" s="10" t="s">
        <v>27</v>
      </c>
      <c r="V8" s="2" t="s">
        <v>32</v>
      </c>
      <c r="W8" s="3" t="n">
        <v>10508.28</v>
      </c>
      <c r="X8" s="4" t="n">
        <v>-0.0993</v>
      </c>
      <c r="Y8" s="3" t="n">
        <v>1168.25</v>
      </c>
      <c r="Z8" s="5" t="n">
        <v>0</v>
      </c>
      <c r="AA8" s="3" t="n">
        <v>8.345</v>
      </c>
      <c r="AB8" s="5"/>
      <c r="AC8" s="5"/>
      <c r="AD8" s="5"/>
    </row>
    <row r="9" customFormat="false" ht="15.75" hidden="false" customHeight="false" outlineLevel="0" collapsed="false">
      <c r="B9" s="8" t="s">
        <v>15</v>
      </c>
      <c r="C9" s="19" t="n">
        <f aca="false">1080 * (1866.25/(2220.7+1866.25))</f>
        <v>493.16727633076</v>
      </c>
      <c r="D9" s="13" t="s">
        <v>33</v>
      </c>
      <c r="E9" s="18" t="s">
        <v>30</v>
      </c>
      <c r="F9" s="18" t="n">
        <v>15977.94</v>
      </c>
      <c r="G9" s="12" t="s">
        <v>25</v>
      </c>
      <c r="H9" s="14" t="n">
        <f aca="false">F9/C9</f>
        <v>32.3986216581082</v>
      </c>
      <c r="I9" s="12" t="s">
        <v>31</v>
      </c>
      <c r="L9" s="8" t="s">
        <v>15</v>
      </c>
      <c r="M9" s="10" t="n">
        <v>119745.82</v>
      </c>
      <c r="N9" s="10" t="s">
        <v>27</v>
      </c>
      <c r="V9" s="2" t="s">
        <v>34</v>
      </c>
      <c r="W9" s="20" t="n">
        <f aca="false">SUM(W3:W8)</f>
        <v>442733.76</v>
      </c>
      <c r="X9" s="21" t="n">
        <f aca="false">SUM(X3:X8)</f>
        <v>-2.7325</v>
      </c>
      <c r="Y9" s="20" t="n">
        <f aca="false">SUM(Y3:Y8)-Y6</f>
        <v>58142.8</v>
      </c>
      <c r="Z9" s="20" t="n">
        <f aca="false">SUM(Z3:Z8)</f>
        <v>0</v>
      </c>
      <c r="AA9" s="20" t="n">
        <f aca="false">SUM(AA3:AA8)-AA6</f>
        <v>101.961</v>
      </c>
      <c r="AB9" s="5"/>
      <c r="AC9" s="5"/>
      <c r="AD9" s="5"/>
    </row>
    <row r="10" customFormat="false" ht="15.75" hidden="false" customHeight="false" outlineLevel="0" collapsed="false">
      <c r="B10" s="8" t="s">
        <v>22</v>
      </c>
      <c r="C10" s="16" t="n">
        <v>60</v>
      </c>
      <c r="D10" s="17" t="s">
        <v>35</v>
      </c>
      <c r="E10" s="18" t="s">
        <v>30</v>
      </c>
      <c r="F10" s="10" t="n">
        <v>19125.62</v>
      </c>
      <c r="G10" s="12" t="s">
        <v>36</v>
      </c>
      <c r="H10" s="14" t="n">
        <f aca="false">F10/C10</f>
        <v>318.760333333333</v>
      </c>
      <c r="I10" s="12" t="s">
        <v>31</v>
      </c>
      <c r="L10" s="8" t="s">
        <v>22</v>
      </c>
      <c r="M10" s="10" t="n">
        <v>0</v>
      </c>
      <c r="N10" s="10" t="s">
        <v>27</v>
      </c>
    </row>
    <row r="11" customFormat="false" ht="15.75" hidden="false" customHeight="false" outlineLevel="0" collapsed="false">
      <c r="B11" s="8" t="s">
        <v>28</v>
      </c>
      <c r="C11" s="19" t="n">
        <v>300</v>
      </c>
      <c r="D11" s="13" t="s">
        <v>37</v>
      </c>
      <c r="E11" s="18" t="s">
        <v>30</v>
      </c>
      <c r="F11" s="22" t="n">
        <v>5353</v>
      </c>
      <c r="G11" s="12" t="s">
        <v>25</v>
      </c>
      <c r="H11" s="14" t="n">
        <f aca="false">F11/C11</f>
        <v>17.8433333333333</v>
      </c>
      <c r="I11" s="12" t="s">
        <v>31</v>
      </c>
      <c r="L11" s="8" t="s">
        <v>28</v>
      </c>
      <c r="M11" s="10" t="n">
        <v>65891.82</v>
      </c>
      <c r="N11" s="10" t="s">
        <v>27</v>
      </c>
    </row>
    <row r="12" customFormat="false" ht="15.75" hidden="false" customHeight="false" outlineLevel="0" collapsed="false">
      <c r="B12" s="8" t="s">
        <v>32</v>
      </c>
      <c r="C12" s="16" t="n">
        <v>140</v>
      </c>
      <c r="D12" s="17" t="s">
        <v>38</v>
      </c>
      <c r="E12" s="18" t="s">
        <v>30</v>
      </c>
      <c r="F12" s="18" t="n">
        <v>1168.25</v>
      </c>
      <c r="G12" s="12" t="s">
        <v>25</v>
      </c>
      <c r="H12" s="14" t="n">
        <f aca="false">F12/C12</f>
        <v>8.34464285714286</v>
      </c>
      <c r="I12" s="12" t="s">
        <v>31</v>
      </c>
      <c r="L12" s="8" t="s">
        <v>32</v>
      </c>
      <c r="M12" s="10" t="n">
        <v>10508.28</v>
      </c>
      <c r="N12" s="10" t="s">
        <v>27</v>
      </c>
    </row>
    <row r="13" customFormat="false" ht="15.75" hidden="false" customHeight="false" outlineLevel="0" collapsed="false">
      <c r="M13" s="10" t="s">
        <v>39</v>
      </c>
    </row>
    <row r="15" customFormat="false" ht="15.75" hidden="false" customHeight="false" outlineLevel="0" collapsed="false">
      <c r="C15" s="6" t="s">
        <v>40</v>
      </c>
      <c r="D15" s="6"/>
      <c r="E15" s="6"/>
      <c r="F15" s="6"/>
      <c r="G15" s="6"/>
      <c r="H15" s="6"/>
      <c r="I15" s="6"/>
      <c r="M15" s="6" t="s">
        <v>41</v>
      </c>
      <c r="N15" s="6"/>
      <c r="O15" s="6"/>
      <c r="P15" s="6"/>
      <c r="Q15" s="6"/>
      <c r="R15" s="6"/>
      <c r="S15" s="6"/>
    </row>
    <row r="16" customFormat="false" ht="15.75" hidden="false" customHeight="false" outlineLevel="0" collapsed="false">
      <c r="C16" s="7" t="s">
        <v>42</v>
      </c>
      <c r="D16" s="7"/>
      <c r="E16" s="7"/>
      <c r="F16" s="7"/>
      <c r="G16" s="7"/>
      <c r="H16" s="7"/>
      <c r="I16" s="7"/>
      <c r="M16" s="7" t="s">
        <v>43</v>
      </c>
      <c r="N16" s="7"/>
      <c r="O16" s="7"/>
      <c r="P16" s="7"/>
      <c r="Q16" s="7"/>
      <c r="R16" s="7"/>
      <c r="S16" s="7"/>
    </row>
    <row r="17" customFormat="false" ht="64.9" hidden="false" customHeight="false" outlineLevel="0" collapsed="false">
      <c r="C17" s="9" t="s">
        <v>19</v>
      </c>
      <c r="D17" s="10" t="s">
        <v>18</v>
      </c>
      <c r="E17" s="11" t="s">
        <v>44</v>
      </c>
      <c r="F17" s="10" t="s">
        <v>18</v>
      </c>
      <c r="G17" s="11" t="s">
        <v>45</v>
      </c>
    </row>
    <row r="18" customFormat="false" ht="15.75" hidden="false" customHeight="false" outlineLevel="0" collapsed="false">
      <c r="B18" s="8" t="s">
        <v>9</v>
      </c>
      <c r="C18" s="12" t="n">
        <v>3113.28</v>
      </c>
      <c r="D18" s="12" t="s">
        <v>25</v>
      </c>
      <c r="E18" s="10" t="n">
        <v>-4543.39</v>
      </c>
      <c r="F18" s="12" t="s">
        <v>25</v>
      </c>
      <c r="G18" s="23" t="n">
        <f aca="false">E18/C18</f>
        <v>-1.45935797615377</v>
      </c>
      <c r="L18" s="8" t="s">
        <v>9</v>
      </c>
    </row>
    <row r="19" customFormat="false" ht="15.75" hidden="false" customHeight="false" outlineLevel="0" collapsed="false">
      <c r="B19" s="8" t="s">
        <v>12</v>
      </c>
      <c r="C19" s="18" t="n">
        <v>32530.33</v>
      </c>
      <c r="D19" s="12" t="s">
        <v>25</v>
      </c>
      <c r="E19" s="12" t="n">
        <v>-23892.49</v>
      </c>
      <c r="F19" s="12" t="s">
        <v>25</v>
      </c>
      <c r="G19" s="23" t="n">
        <f aca="false">E19/C19</f>
        <v>-0.734468110222061</v>
      </c>
      <c r="L19" s="8" t="s">
        <v>12</v>
      </c>
    </row>
    <row r="20" customFormat="false" ht="15.75" hidden="false" customHeight="false" outlineLevel="0" collapsed="false">
      <c r="B20" s="8" t="s">
        <v>15</v>
      </c>
      <c r="C20" s="18" t="n">
        <v>15977.94</v>
      </c>
      <c r="D20" s="12" t="s">
        <v>25</v>
      </c>
      <c r="E20" s="12" t="n">
        <v>-2352.24</v>
      </c>
      <c r="F20" s="12" t="s">
        <v>25</v>
      </c>
      <c r="G20" s="23" t="n">
        <f aca="false">E20/C20</f>
        <v>-0.147217976785493</v>
      </c>
      <c r="L20" s="8" t="s">
        <v>15</v>
      </c>
    </row>
    <row r="21" customFormat="false" ht="15.75" hidden="false" customHeight="false" outlineLevel="0" collapsed="false">
      <c r="B21" s="8" t="s">
        <v>22</v>
      </c>
      <c r="C21" s="10" t="n">
        <v>19125.62</v>
      </c>
      <c r="D21" s="12" t="s">
        <v>36</v>
      </c>
      <c r="E21" s="12" t="n">
        <v>0</v>
      </c>
      <c r="F21" s="12" t="s">
        <v>36</v>
      </c>
      <c r="G21" s="23" t="n">
        <f aca="false">E21/C21</f>
        <v>0</v>
      </c>
      <c r="L21" s="8" t="s">
        <v>22</v>
      </c>
    </row>
    <row r="22" customFormat="false" ht="15.75" hidden="false" customHeight="false" outlineLevel="0" collapsed="false">
      <c r="B22" s="8" t="s">
        <v>28</v>
      </c>
      <c r="C22" s="22" t="n">
        <v>5353</v>
      </c>
      <c r="D22" s="12" t="s">
        <v>25</v>
      </c>
      <c r="E22" s="12" t="n">
        <v>-1563.6</v>
      </c>
      <c r="F22" s="12" t="s">
        <v>25</v>
      </c>
      <c r="G22" s="23" t="n">
        <f aca="false">E22/C22</f>
        <v>-0.292097889034186</v>
      </c>
      <c r="L22" s="8" t="s">
        <v>28</v>
      </c>
    </row>
    <row r="23" customFormat="false" ht="15.75" hidden="false" customHeight="false" outlineLevel="0" collapsed="false">
      <c r="B23" s="8" t="s">
        <v>32</v>
      </c>
      <c r="C23" s="18" t="n">
        <v>1168.25</v>
      </c>
      <c r="D23" s="12" t="s">
        <v>25</v>
      </c>
      <c r="E23" s="12" t="n">
        <v>-116.03</v>
      </c>
      <c r="F23" s="12" t="s">
        <v>25</v>
      </c>
      <c r="G23" s="23" t="n">
        <f aca="false">E23/C23</f>
        <v>-0.0993194949711106</v>
      </c>
      <c r="L23" s="8" t="s">
        <v>32</v>
      </c>
    </row>
    <row r="27" customFormat="false" ht="15.75" hidden="false" customHeight="false" outlineLevel="0" collapsed="false">
      <c r="C27" s="6" t="s">
        <v>46</v>
      </c>
      <c r="D27" s="6"/>
      <c r="E27" s="6"/>
      <c r="F27" s="6"/>
      <c r="G27" s="6"/>
      <c r="H27" s="6"/>
      <c r="I27" s="6"/>
      <c r="M27" s="6" t="s">
        <v>47</v>
      </c>
      <c r="N27" s="6"/>
      <c r="O27" s="6"/>
      <c r="P27" s="6"/>
      <c r="Q27" s="6"/>
      <c r="R27" s="6"/>
      <c r="S27" s="6"/>
    </row>
    <row r="28" customFormat="false" ht="15.75" hidden="false" customHeight="false" outlineLevel="0" collapsed="false">
      <c r="C28" s="7" t="s">
        <v>48</v>
      </c>
      <c r="D28" s="7"/>
      <c r="E28" s="7"/>
      <c r="F28" s="7"/>
      <c r="G28" s="7"/>
      <c r="H28" s="7"/>
      <c r="I28" s="7"/>
      <c r="M28" s="7" t="s">
        <v>49</v>
      </c>
      <c r="N28" s="7"/>
      <c r="O28" s="7"/>
      <c r="P28" s="7"/>
      <c r="Q28" s="7"/>
      <c r="R28" s="7"/>
      <c r="S28" s="7"/>
    </row>
    <row r="29" customFormat="false" ht="64.9" hidden="false" customHeight="false" outlineLevel="0" collapsed="false">
      <c r="C29" s="9" t="s">
        <v>19</v>
      </c>
      <c r="D29" s="10" t="s">
        <v>18</v>
      </c>
      <c r="M29" s="10" t="s">
        <v>16</v>
      </c>
      <c r="N29" s="10" t="s">
        <v>50</v>
      </c>
      <c r="O29" s="10" t="s">
        <v>51</v>
      </c>
      <c r="P29" s="10" t="s">
        <v>52</v>
      </c>
      <c r="R29" s="10" t="s">
        <v>53</v>
      </c>
    </row>
    <row r="30" customFormat="false" ht="15.75" hidden="false" customHeight="false" outlineLevel="0" collapsed="false">
      <c r="B30" s="8" t="s">
        <v>9</v>
      </c>
      <c r="C30" s="12" t="n">
        <v>3113.28</v>
      </c>
      <c r="D30" s="12" t="s">
        <v>25</v>
      </c>
      <c r="L30" s="8" t="s">
        <v>9</v>
      </c>
      <c r="M30" s="10" t="s">
        <v>54</v>
      </c>
      <c r="N30" s="10" t="s">
        <v>55</v>
      </c>
      <c r="O30" s="24" t="n">
        <f aca="false">120*8000</f>
        <v>960000</v>
      </c>
      <c r="P30" s="10" t="s">
        <v>56</v>
      </c>
      <c r="Q30" s="24" t="n">
        <f aca="false">O30*1632</f>
        <v>1566720000</v>
      </c>
      <c r="R30" s="10" t="n">
        <f aca="false">Q30*277.78</f>
        <v>435203481600</v>
      </c>
      <c r="S30" s="10" t="s">
        <v>57</v>
      </c>
    </row>
    <row r="31" customFormat="false" ht="15.75" hidden="false" customHeight="false" outlineLevel="0" collapsed="false">
      <c r="B31" s="8" t="s">
        <v>12</v>
      </c>
      <c r="C31" s="18" t="n">
        <v>32530.33</v>
      </c>
      <c r="D31" s="12" t="s">
        <v>25</v>
      </c>
      <c r="L31" s="8" t="s">
        <v>12</v>
      </c>
      <c r="M31" s="24" t="n">
        <f aca="false">2814 +2148</f>
        <v>4962</v>
      </c>
      <c r="R31" s="24" t="n">
        <f aca="false">M31*277.78</f>
        <v>1378344.36</v>
      </c>
      <c r="S31" s="10" t="s">
        <v>58</v>
      </c>
    </row>
    <row r="32" customFormat="false" ht="15.75" hidden="false" customHeight="false" outlineLevel="0" collapsed="false">
      <c r="B32" s="8" t="s">
        <v>15</v>
      </c>
      <c r="C32" s="18" t="n">
        <v>15977.94</v>
      </c>
      <c r="D32" s="12" t="s">
        <v>25</v>
      </c>
      <c r="L32" s="8" t="s">
        <v>15</v>
      </c>
    </row>
    <row r="33" customFormat="false" ht="15.75" hidden="false" customHeight="false" outlineLevel="0" collapsed="false">
      <c r="B33" s="8" t="s">
        <v>22</v>
      </c>
      <c r="C33" s="10" t="n">
        <v>19125.62</v>
      </c>
      <c r="D33" s="12" t="s">
        <v>36</v>
      </c>
      <c r="L33" s="8" t="s">
        <v>22</v>
      </c>
    </row>
    <row r="34" customFormat="false" ht="15.75" hidden="false" customHeight="false" outlineLevel="0" collapsed="false">
      <c r="B34" s="8" t="s">
        <v>28</v>
      </c>
      <c r="C34" s="22" t="n">
        <v>5353</v>
      </c>
      <c r="D34" s="12" t="s">
        <v>25</v>
      </c>
      <c r="L34" s="8" t="s">
        <v>28</v>
      </c>
    </row>
    <row r="35" customFormat="false" ht="15.75" hidden="false" customHeight="false" outlineLevel="0" collapsed="false">
      <c r="B35" s="8" t="s">
        <v>32</v>
      </c>
      <c r="C35" s="18" t="n">
        <v>1168.25</v>
      </c>
      <c r="D35" s="12" t="s">
        <v>25</v>
      </c>
      <c r="L35" s="8" t="s">
        <v>32</v>
      </c>
    </row>
    <row r="38" customFormat="false" ht="15.75" hidden="false" customHeight="false" outlineLevel="0" collapsed="false">
      <c r="C38" s="6" t="s">
        <v>59</v>
      </c>
      <c r="D38" s="6"/>
      <c r="E38" s="6"/>
      <c r="F38" s="6"/>
      <c r="G38" s="6"/>
      <c r="H38" s="6"/>
      <c r="I38" s="6"/>
      <c r="M38" s="6" t="s">
        <v>60</v>
      </c>
      <c r="N38" s="6"/>
      <c r="O38" s="6"/>
      <c r="P38" s="6"/>
      <c r="Q38" s="6"/>
      <c r="R38" s="6"/>
      <c r="S38" s="6"/>
    </row>
    <row r="39" customFormat="false" ht="15.75" hidden="false" customHeight="false" outlineLevel="0" collapsed="false">
      <c r="C39" s="7" t="s">
        <v>61</v>
      </c>
      <c r="D39" s="7"/>
      <c r="E39" s="7"/>
      <c r="F39" s="7"/>
      <c r="G39" s="7"/>
      <c r="H39" s="7"/>
      <c r="I39" s="7"/>
      <c r="M39" s="7" t="s">
        <v>62</v>
      </c>
      <c r="N39" s="7"/>
      <c r="O39" s="7"/>
      <c r="P39" s="7"/>
      <c r="Q39" s="7"/>
      <c r="R39" s="7"/>
      <c r="S39" s="7"/>
    </row>
    <row r="40" customFormat="false" ht="77.6" hidden="false" customHeight="false" outlineLevel="0" collapsed="false">
      <c r="M40" s="25" t="s">
        <v>63</v>
      </c>
      <c r="N40" s="26" t="s">
        <v>64</v>
      </c>
      <c r="O40" s="26" t="s">
        <v>65</v>
      </c>
      <c r="P40" s="9" t="s">
        <v>66</v>
      </c>
      <c r="Q40" s="26" t="s">
        <v>67</v>
      </c>
      <c r="R40" s="26" t="s">
        <v>68</v>
      </c>
      <c r="S40" s="10"/>
    </row>
    <row r="41" customFormat="false" ht="15.75" hidden="false" customHeight="false" outlineLevel="0" collapsed="false">
      <c r="B41" s="8" t="s">
        <v>9</v>
      </c>
      <c r="L41" s="8" t="s">
        <v>9</v>
      </c>
      <c r="M41" s="27" t="n">
        <v>0</v>
      </c>
      <c r="N41" s="28" t="n">
        <v>0</v>
      </c>
      <c r="O41" s="29" t="n">
        <f aca="false">M41*N41</f>
        <v>0</v>
      </c>
      <c r="P41" s="12" t="n">
        <v>3.11328</v>
      </c>
      <c r="Q41" s="30" t="n">
        <v>55.89</v>
      </c>
      <c r="R41" s="31" t="n">
        <f aca="false">P41*Q41</f>
        <v>174.0012192</v>
      </c>
      <c r="S41" s="12"/>
    </row>
    <row r="42" customFormat="false" ht="15.75" hidden="false" customHeight="false" outlineLevel="0" collapsed="false">
      <c r="B42" s="8" t="s">
        <v>12</v>
      </c>
      <c r="L42" s="8" t="s">
        <v>12</v>
      </c>
      <c r="M42" s="27" t="n">
        <v>0.0774</v>
      </c>
      <c r="N42" s="32" t="n">
        <v>23996.62</v>
      </c>
      <c r="O42" s="29" t="n">
        <f aca="false">M42*N42</f>
        <v>1857.338388</v>
      </c>
      <c r="P42" s="18" t="n">
        <v>32.53033</v>
      </c>
      <c r="Q42" s="30" t="n">
        <v>55.89</v>
      </c>
      <c r="R42" s="31" t="n">
        <f aca="false">P42*Q42</f>
        <v>1818.1201437</v>
      </c>
      <c r="S42" s="12"/>
    </row>
    <row r="43" customFormat="false" ht="15.75" hidden="false" customHeight="false" outlineLevel="0" collapsed="false">
      <c r="B43" s="8" t="s">
        <v>15</v>
      </c>
      <c r="L43" s="8" t="s">
        <v>15</v>
      </c>
      <c r="M43" s="27" t="n">
        <v>0</v>
      </c>
      <c r="N43" s="33"/>
      <c r="O43" s="29" t="n">
        <f aca="false">M43*N43</f>
        <v>0</v>
      </c>
      <c r="P43" s="12" t="n">
        <v>15.97794</v>
      </c>
      <c r="Q43" s="30" t="n">
        <v>55.89</v>
      </c>
      <c r="R43" s="31" t="n">
        <f aca="false">P43*Q43</f>
        <v>893.0070666</v>
      </c>
      <c r="S43" s="12" t="s">
        <v>69</v>
      </c>
    </row>
    <row r="44" customFormat="false" ht="15.75" hidden="false" customHeight="false" outlineLevel="0" collapsed="false">
      <c r="B44" s="8" t="s">
        <v>22</v>
      </c>
      <c r="L44" s="8" t="s">
        <v>22</v>
      </c>
      <c r="M44" s="27" t="n">
        <v>0</v>
      </c>
      <c r="N44" s="33"/>
      <c r="O44" s="29" t="n">
        <f aca="false">M44*N44</f>
        <v>0</v>
      </c>
      <c r="P44" s="10" t="n">
        <v>19.12562</v>
      </c>
      <c r="Q44" s="30" t="n">
        <v>55.89</v>
      </c>
      <c r="R44" s="31" t="n">
        <f aca="false">P44*Q44</f>
        <v>1068.9309018</v>
      </c>
      <c r="S44" s="12"/>
    </row>
    <row r="45" customFormat="false" ht="15.75" hidden="false" customHeight="false" outlineLevel="0" collapsed="false">
      <c r="B45" s="8" t="s">
        <v>28</v>
      </c>
      <c r="L45" s="8" t="s">
        <v>28</v>
      </c>
      <c r="M45" s="34" t="n">
        <v>0.102780698</v>
      </c>
      <c r="N45" s="27" t="n">
        <v>860</v>
      </c>
      <c r="O45" s="29" t="n">
        <f aca="false">M45*N45</f>
        <v>88.39140028</v>
      </c>
      <c r="P45" s="35" t="n">
        <v>5.353</v>
      </c>
      <c r="Q45" s="30" t="n">
        <v>55.89</v>
      </c>
      <c r="R45" s="31" t="n">
        <f aca="false">P45*Q45</f>
        <v>299.17917</v>
      </c>
      <c r="S45" s="12"/>
    </row>
    <row r="46" customFormat="false" ht="15.75" hidden="false" customHeight="false" outlineLevel="0" collapsed="false">
      <c r="B46" s="8" t="s">
        <v>32</v>
      </c>
      <c r="M46" s="34" t="n">
        <v>0.799355191</v>
      </c>
      <c r="N46" s="27" t="n">
        <v>7</v>
      </c>
      <c r="O46" s="29" t="n">
        <f aca="false">M46*N46</f>
        <v>5.595486337</v>
      </c>
      <c r="Q46" s="24"/>
      <c r="R46" s="31" t="n">
        <f aca="false">P46*Q46</f>
        <v>0</v>
      </c>
      <c r="S46" s="12"/>
    </row>
    <row r="47" customFormat="false" ht="15.75" hidden="false" customHeight="false" outlineLevel="0" collapsed="false">
      <c r="M47" s="34" t="n">
        <v>0.606250024</v>
      </c>
      <c r="N47" s="27" t="n">
        <v>34</v>
      </c>
      <c r="O47" s="29" t="n">
        <f aca="false">M47*N47</f>
        <v>20.612500816</v>
      </c>
      <c r="Q47" s="24"/>
      <c r="R47" s="31" t="n">
        <f aca="false">P47*Q47</f>
        <v>0</v>
      </c>
      <c r="S47" s="12"/>
    </row>
    <row r="48" customFormat="false" ht="15.75" hidden="false" customHeight="false" outlineLevel="0" collapsed="false">
      <c r="L48" s="8" t="s">
        <v>32</v>
      </c>
      <c r="M48" s="10" t="n">
        <v>0</v>
      </c>
      <c r="P48" s="18" t="n">
        <v>1.16825</v>
      </c>
      <c r="Q48" s="30" t="n">
        <v>55.89</v>
      </c>
      <c r="R48" s="31" t="n">
        <f aca="false">P48*Q48</f>
        <v>65.2934925</v>
      </c>
      <c r="S48" s="12"/>
    </row>
    <row r="49" customFormat="false" ht="15.75" hidden="false" customHeight="false" outlineLevel="0" collapsed="false">
      <c r="P49" s="18"/>
      <c r="Q49" s="18" t="s">
        <v>70</v>
      </c>
      <c r="R49" s="31" t="n">
        <f aca="false">SUM(R41:R47)</f>
        <v>4253.2385013</v>
      </c>
      <c r="S49" s="12"/>
    </row>
    <row r="52" customFormat="false" ht="15.75" hidden="false" customHeight="false" outlineLevel="0" collapsed="false">
      <c r="L52" s="8"/>
      <c r="M52" s="12"/>
    </row>
    <row r="53" customFormat="false" ht="15.75" hidden="false" customHeight="false" outlineLevel="0" collapsed="false">
      <c r="L53" s="8"/>
      <c r="M53" s="18"/>
    </row>
    <row r="54" customFormat="false" ht="15.75" hidden="false" customHeight="false" outlineLevel="0" collapsed="false">
      <c r="L54" s="8"/>
      <c r="M54" s="12"/>
    </row>
    <row r="55" customFormat="false" ht="15.75" hidden="false" customHeight="false" outlineLevel="0" collapsed="false">
      <c r="L55" s="8"/>
      <c r="M55" s="18"/>
    </row>
    <row r="56" customFormat="false" ht="15.75" hidden="false" customHeight="false" outlineLevel="0" collapsed="false">
      <c r="L56" s="8"/>
      <c r="M56" s="36"/>
    </row>
    <row r="57" customFormat="false" ht="15.75" hidden="false" customHeight="false" outlineLevel="0" collapsed="false">
      <c r="L57" s="8"/>
      <c r="M57" s="18"/>
    </row>
  </sheetData>
  <mergeCells count="16">
    <mergeCell ref="C4:I4"/>
    <mergeCell ref="M4:S4"/>
    <mergeCell ref="C5:I5"/>
    <mergeCell ref="M5:S5"/>
    <mergeCell ref="C15:I15"/>
    <mergeCell ref="M15:S15"/>
    <mergeCell ref="C16:I16"/>
    <mergeCell ref="M16:S16"/>
    <mergeCell ref="C27:I27"/>
    <mergeCell ref="M27:S27"/>
    <mergeCell ref="C28:I28"/>
    <mergeCell ref="M28:S28"/>
    <mergeCell ref="C38:I38"/>
    <mergeCell ref="M38:S38"/>
    <mergeCell ref="C39:I39"/>
    <mergeCell ref="M39:S3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2.6328125" defaultRowHeight="15.75" customHeight="true" zeroHeight="false" outlineLevelRow="0" outlineLevelCol="0"/>
  <sheetData>
    <row r="1" customFormat="false" ht="35.05" hidden="false" customHeight="false" outlineLevel="0" collapsed="false">
      <c r="A1" s="37" t="s">
        <v>71</v>
      </c>
      <c r="B1" s="37" t="s">
        <v>72</v>
      </c>
      <c r="C1" s="37" t="s">
        <v>73</v>
      </c>
      <c r="D1" s="37" t="s">
        <v>74</v>
      </c>
      <c r="E1" s="37" t="s">
        <v>4</v>
      </c>
      <c r="F1" s="37" t="s">
        <v>75</v>
      </c>
      <c r="G1" s="37" t="s">
        <v>6</v>
      </c>
      <c r="H1" s="37" t="s">
        <v>8</v>
      </c>
    </row>
    <row r="2" customFormat="false" ht="15.75" hidden="false" customHeight="false" outlineLevel="0" collapsed="false">
      <c r="A2" s="37" t="s">
        <v>9</v>
      </c>
      <c r="B2" s="38" t="n">
        <v>1072.46</v>
      </c>
      <c r="C2" s="39" t="n">
        <v>-1.4594</v>
      </c>
      <c r="D2" s="40" t="n">
        <v>3113.28</v>
      </c>
      <c r="E2" s="37" t="n">
        <v>0</v>
      </c>
      <c r="F2" s="40" t="n">
        <v>0</v>
      </c>
      <c r="G2" s="41" t="n">
        <v>0</v>
      </c>
      <c r="H2" s="40" t="n">
        <v>174</v>
      </c>
    </row>
    <row r="3" customFormat="false" ht="15.75" hidden="false" customHeight="false" outlineLevel="0" collapsed="false">
      <c r="A3" s="37" t="s">
        <v>12</v>
      </c>
      <c r="B3" s="38" t="n">
        <v>245515.38</v>
      </c>
      <c r="C3" s="39" t="n">
        <v>-0.7345</v>
      </c>
      <c r="D3" s="40" t="n">
        <v>32530.33</v>
      </c>
      <c r="E3" s="37" t="n">
        <v>0</v>
      </c>
      <c r="F3" s="40" t="n">
        <v>43.374</v>
      </c>
      <c r="G3" s="41" t="n">
        <v>0</v>
      </c>
      <c r="H3" s="40" t="n">
        <v>1818.12</v>
      </c>
    </row>
    <row r="4" customFormat="false" ht="23.85" hidden="false" customHeight="false" outlineLevel="0" collapsed="false">
      <c r="A4" s="37" t="s">
        <v>15</v>
      </c>
      <c r="B4" s="38" t="n">
        <v>119745.82</v>
      </c>
      <c r="C4" s="39" t="n">
        <v>-0.1472</v>
      </c>
      <c r="D4" s="40" t="n">
        <v>15977.94</v>
      </c>
      <c r="E4" s="37" t="n">
        <v>0</v>
      </c>
      <c r="F4" s="40" t="n">
        <v>32.399</v>
      </c>
      <c r="G4" s="41" t="n">
        <v>0</v>
      </c>
      <c r="H4" s="40" t="n">
        <v>893.01</v>
      </c>
    </row>
    <row r="5" customFormat="false" ht="15.75" hidden="false" customHeight="false" outlineLevel="0" collapsed="false">
      <c r="A5" s="37" t="s">
        <v>22</v>
      </c>
      <c r="B5" s="38" t="n">
        <v>0</v>
      </c>
      <c r="C5" s="39" t="n">
        <v>0</v>
      </c>
      <c r="D5" s="40" t="n">
        <v>19125.62</v>
      </c>
      <c r="E5" s="37" t="n">
        <v>0</v>
      </c>
      <c r="F5" s="40" t="n">
        <v>318.76</v>
      </c>
      <c r="G5" s="41" t="n">
        <v>0</v>
      </c>
      <c r="H5" s="40" t="n">
        <v>1068.93</v>
      </c>
    </row>
    <row r="6" customFormat="false" ht="15.75" hidden="false" customHeight="false" outlineLevel="0" collapsed="false">
      <c r="A6" s="37" t="s">
        <v>28</v>
      </c>
      <c r="B6" s="38" t="n">
        <v>65891.82</v>
      </c>
      <c r="C6" s="39" t="n">
        <v>-0.2921</v>
      </c>
      <c r="D6" s="42" t="n">
        <v>5353</v>
      </c>
      <c r="E6" s="37" t="n">
        <v>0</v>
      </c>
      <c r="F6" s="40" t="n">
        <v>17.843</v>
      </c>
      <c r="G6" s="41" t="n">
        <v>0</v>
      </c>
      <c r="H6" s="40" t="n">
        <v>299.18</v>
      </c>
    </row>
    <row r="7" customFormat="false" ht="15.75" hidden="false" customHeight="false" outlineLevel="0" collapsed="false">
      <c r="A7" s="37" t="s">
        <v>32</v>
      </c>
      <c r="B7" s="38" t="n">
        <v>10508.28</v>
      </c>
      <c r="C7" s="39" t="n">
        <v>-0.0993</v>
      </c>
      <c r="D7" s="40" t="n">
        <v>1168.25</v>
      </c>
      <c r="E7" s="37" t="n">
        <v>0</v>
      </c>
      <c r="F7" s="40" t="n">
        <v>8.345</v>
      </c>
      <c r="G7" s="41" t="n">
        <v>0</v>
      </c>
      <c r="H7" s="40" t="n">
        <v>65.29</v>
      </c>
    </row>
    <row r="8" customFormat="false" ht="15.75" hidden="false" customHeight="false" outlineLevel="0" collapsed="false">
      <c r="A8" s="37" t="s">
        <v>34</v>
      </c>
      <c r="B8" s="38" t="n">
        <v>442733.76</v>
      </c>
      <c r="C8" s="43" t="n">
        <v>-2.7325</v>
      </c>
      <c r="D8" s="37" t="n">
        <v>58142.8</v>
      </c>
      <c r="E8" s="37" t="n">
        <v>0</v>
      </c>
      <c r="F8" s="37" t="n">
        <v>101.961</v>
      </c>
      <c r="G8" s="41" t="n">
        <v>0</v>
      </c>
      <c r="H8" s="40" t="n">
        <v>4253.24</v>
      </c>
    </row>
    <row r="13" customFormat="false" ht="15.75" hidden="false" customHeight="false" outlineLevel="0" collapsed="false"/>
    <row r="14" customFormat="false" ht="15.75" hidden="false" customHeight="false" outlineLevel="0" collapsed="false"/>
    <row r="15" customFormat="false" ht="15.75" hidden="false" customHeight="false" outlineLevel="0" collapsed="false"/>
    <row r="16" customFormat="false" ht="15.75" hidden="false" customHeight="false" outlineLevel="0" collapsed="false"/>
    <row r="17" customFormat="false" ht="15.75" hidden="false" customHeight="false" outlineLevel="0" collapsed="false"/>
    <row r="18" customFormat="false" ht="15.75" hidden="false" customHeight="false" outlineLevel="0" collapsed="false"/>
    <row r="19" customFormat="false" ht="15.75" hidden="false" customHeight="false" outlineLevel="0" collapsed="false"/>
    <row r="20" customFormat="false" ht="15.7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37" activeCellId="0" sqref="E37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0" t="s">
        <v>76</v>
      </c>
      <c r="B1" s="10" t="s">
        <v>18</v>
      </c>
    </row>
    <row r="2" customFormat="false" ht="33.35" hidden="false" customHeight="false" outlineLevel="0" collapsed="false">
      <c r="A2" s="37" t="s">
        <v>72</v>
      </c>
      <c r="B2" s="10" t="s">
        <v>27</v>
      </c>
    </row>
    <row r="3" customFormat="false" ht="33.35" hidden="false" customHeight="false" outlineLevel="0" collapsed="false">
      <c r="A3" s="37" t="s">
        <v>73</v>
      </c>
      <c r="B3" s="24" t="s">
        <v>77</v>
      </c>
    </row>
    <row r="4" customFormat="false" ht="22.8" hidden="false" customHeight="false" outlineLevel="0" collapsed="false">
      <c r="A4" s="37" t="s">
        <v>74</v>
      </c>
      <c r="B4" s="24" t="s">
        <v>78</v>
      </c>
    </row>
    <row r="5" customFormat="false" ht="22.8" hidden="false" customHeight="false" outlineLevel="0" collapsed="false">
      <c r="A5" s="37" t="s">
        <v>4</v>
      </c>
      <c r="B5" s="10" t="s">
        <v>77</v>
      </c>
    </row>
    <row r="6" customFormat="false" ht="33.35" hidden="false" customHeight="false" outlineLevel="0" collapsed="false">
      <c r="A6" s="37" t="s">
        <v>75</v>
      </c>
      <c r="B6" s="24" t="s">
        <v>31</v>
      </c>
    </row>
    <row r="7" customFormat="false" ht="33.35" hidden="false" customHeight="false" outlineLevel="0" collapsed="false">
      <c r="A7" s="37" t="s">
        <v>6</v>
      </c>
      <c r="B7" s="10" t="s">
        <v>77</v>
      </c>
    </row>
    <row r="8" customFormat="false" ht="33.35" hidden="false" customHeight="false" outlineLevel="0" collapsed="false">
      <c r="A8" s="37" t="s">
        <v>8</v>
      </c>
      <c r="B8" s="10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2026-05-26T13:56:05Z</dcterms:modified>
  <cp:revision>1</cp:revision>
  <dc:subject/>
  <dc:title/>
</cp:coreProperties>
</file>